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avespi.sharepoint.com/sites/konekti/Gedeelde documenten/Marketing and Sales/2. Customer Presentations/Innovami/"/>
    </mc:Choice>
  </mc:AlternateContent>
  <xr:revisionPtr revIDLastSave="0" documentId="8_{B7606A68-E570-486F-89DF-A9B1CF906FE6}" xr6:coauthVersionLast="47" xr6:coauthVersionMax="47" xr10:uidLastSave="{00000000-0000-0000-0000-000000000000}"/>
  <bookViews>
    <workbookView xWindow="37005" yWindow="345" windowWidth="29940" windowHeight="17265" tabRatio="500" activeTab="2" xr2:uid="{00000000-000D-0000-FFFF-FFFF00000000}"/>
  </bookViews>
  <sheets>
    <sheet name="Assumptions" sheetId="1" r:id="rId1"/>
    <sheet name="Effort Build-Up" sheetId="2" r:id="rId2"/>
    <sheet name="Scenarios" sheetId="3" r:id="rId3"/>
    <sheet name="WP1 First Quote" sheetId="4" r:id="rId4"/>
    <sheet name="WP Map (metrics)" sheetId="5" r:id="rId5"/>
    <sheet name="Parallel Workflow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4" l="1"/>
  <c r="C12" i="4" s="1"/>
  <c r="B11" i="4"/>
  <c r="B12" i="4" s="1"/>
  <c r="C10" i="4"/>
  <c r="C9" i="4"/>
  <c r="C8" i="4"/>
  <c r="C7" i="4"/>
  <c r="C6" i="4"/>
  <c r="C19" i="3"/>
  <c r="C18" i="3"/>
  <c r="C17" i="3"/>
  <c r="C13" i="3"/>
  <c r="C12" i="3"/>
  <c r="C11" i="3"/>
  <c r="D15" i="2"/>
  <c r="C15" i="2"/>
  <c r="G14" i="2"/>
  <c r="H14" i="2" s="1"/>
  <c r="E14" i="2"/>
  <c r="G13" i="2"/>
  <c r="H13" i="2" s="1"/>
  <c r="E13" i="2"/>
  <c r="G12" i="2"/>
  <c r="H12" i="2" s="1"/>
  <c r="E12" i="2"/>
  <c r="G11" i="2"/>
  <c r="E11" i="2"/>
  <c r="H11" i="2" s="1"/>
  <c r="G10" i="2"/>
  <c r="H10" i="2" s="1"/>
  <c r="E10" i="2"/>
  <c r="G9" i="2"/>
  <c r="E9" i="2"/>
  <c r="H9" i="2" s="1"/>
  <c r="G8" i="2"/>
  <c r="H8" i="2" s="1"/>
  <c r="E8" i="2"/>
  <c r="G7" i="2"/>
  <c r="E7" i="2"/>
  <c r="H7" i="2" s="1"/>
  <c r="G6" i="2"/>
  <c r="H6" i="2" s="1"/>
  <c r="E6" i="2"/>
  <c r="G5" i="2"/>
  <c r="G15" i="2" s="1"/>
  <c r="E5" i="2"/>
  <c r="E15" i="2" s="1"/>
  <c r="E16" i="2" s="1"/>
  <c r="H16" i="2" l="1"/>
  <c r="C7" i="3"/>
  <c r="B7" i="3"/>
  <c r="C6" i="3"/>
  <c r="B6" i="3"/>
  <c r="B5" i="3"/>
  <c r="C5" i="3"/>
  <c r="H5" i="2"/>
  <c r="H15" i="2" s="1"/>
  <c r="D6" i="3" l="1"/>
  <c r="B18" i="3" s="1"/>
  <c r="D18" i="3" s="1"/>
  <c r="B12" i="3"/>
  <c r="D12" i="3" s="1"/>
  <c r="D7" i="3"/>
  <c r="B19" i="3" s="1"/>
  <c r="D19" i="3" s="1"/>
  <c r="B13" i="3"/>
  <c r="D13" i="3" s="1"/>
  <c r="B11" i="3"/>
  <c r="D11" i="3" s="1"/>
  <c r="D5" i="3"/>
  <c r="B17" i="3" s="1"/>
  <c r="D17" i="3" s="1"/>
</calcChain>
</file>

<file path=xl/sharedStrings.xml><?xml version="1.0" encoding="utf-8"?>
<sst xmlns="http://schemas.openxmlformats.org/spreadsheetml/2006/main" count="220" uniqueCount="199">
  <si>
    <t>INNOVA — BOTTOM-UP SCOPE, EFFORT &amp; BUDGET MODEL</t>
  </si>
  <si>
    <t>Konekti INTERNAL · Full scope (5 work packages) · Effort priced at day-rate; calendar modelled separately. Rev 4 — self-hosted Airbyte connectors, license €7,500/mo confirmed.</t>
  </si>
  <si>
    <t>1 · PRICING &amp; EFFORT DRIVERS  (blue = inputs you change)</t>
  </si>
  <si>
    <t>Blended day rate (€/day)</t>
  </si>
  <si>
    <t>Adam's stated average across roles. Used to price ALL effort.</t>
  </si>
  <si>
    <t>Working days per week</t>
  </si>
  <si>
    <t>For converting weeks &lt;-&gt; days.</t>
  </si>
  <si>
    <t>Day-rate sensitivity — low</t>
  </si>
  <si>
    <t>Lower price bound.</t>
  </si>
  <si>
    <t>Day-rate sensitivity — high</t>
  </si>
  <si>
    <t>Upper price bound.</t>
  </si>
  <si>
    <t>2 · CONTINGENCY ON EFFORT  (layered — applied to man-days, not calendar)</t>
  </si>
  <si>
    <t>Base contingency (all packages)</t>
  </si>
  <si>
    <t>Standard estimation buffer on every WP. Covers normal underestimation.</t>
  </si>
  <si>
    <t>Risk uplift — high-uncertainty WPs</t>
  </si>
  <si>
    <t>EXTRA, applied only to flagged WPs (WP3 attribution/identity, WP4 finance source, custom CDK builds).</t>
  </si>
  <si>
    <t>Client-responsiveness rework premium</t>
  </si>
  <si>
    <t>Effort added by context-switching/cold-restart IF client is slow. 0% if highly responsive.</t>
  </si>
  <si>
    <t>3 · CALENDAR DRIVERS  (separate from cost — drive elapsed time only)</t>
  </si>
  <si>
    <t>Konekti delivery capacity (people on it)</t>
  </si>
  <si>
    <t>Avg FTE actively delivering (analyst + dev capacity blended). Drives how fast effort burns down.</t>
  </si>
  <si>
    <t>Flow efficiency — fast/responsive client</t>
  </si>
  <si>
    <t>% of calendar that is productive work. High = compressed timeline (CEO 'fast ~6mo').</t>
  </si>
  <si>
    <t>Flow efficiency — realistic</t>
  </si>
  <si>
    <t>Normal back-and-forth (CEO 'realistic ~9mo').</t>
  </si>
  <si>
    <t>Flow efficiency — slow/unresponsive client</t>
  </si>
  <si>
    <t>Waiting on access, answers, approvals (CEO 'up to ~12mo').</t>
  </si>
  <si>
    <t>4 · COMMERCIAL  (recurring)</t>
  </si>
  <si>
    <t>Konekti license €/month (5 seats)</t>
  </si>
  <si>
    <t>CONFIRMED monthly. Annualised on Scenarios tab.</t>
  </si>
  <si>
    <t>License months in year 1</t>
  </si>
  <si>
    <t>Set lower if licence starts mid-project.</t>
  </si>
  <si>
    <t>KEY MODELLING NOTES</t>
  </si>
  <si>
    <t>• EFFORT vs CALENDAR are decoupled. Effort (man-days) sets COST and never changes with client speed (except the small rework premium). CALENDAR (elapsed months) is a separate output driven by capacity + flow efficiency — this is the 6/9/12-month spread.</t>
  </si>
  <si>
    <t>• Connectors are SELF-HOSTED Airbyte + custom CDK builds. No monthly connector subscription. The work is one-off BUILD EFFORT, already inside WP effort. Only ongoing recurring cost is the Konekti license + LLM usage.</t>
  </si>
  <si>
    <t>• LLM API usage (OpenAI/Anthropic/Gemini, client-cloud-hosted) is a pass-through, still being defined. NOT in totals.</t>
  </si>
  <si>
    <t>EFFORT BUILD-UP — man-days by work package (the cost foundation)</t>
  </si>
  <si>
    <t>Spine = CTO-agreed connector time (4 wks build + 2 wks setup, self-hosted Airbyte) + Adam's modelling/analytics weeks, decomposed across the 5 WPs. 'High-risk?' flags which WPs get the extra risk uplift.</t>
  </si>
  <si>
    <t>Work package / activity</t>
  </si>
  <si>
    <t>Layer</t>
  </si>
  <si>
    <t>Dev days</t>
  </si>
  <si>
    <t>Analyst days</t>
  </si>
  <si>
    <t>Base days</t>
  </si>
  <si>
    <t>High-risk?</t>
  </si>
  <si>
    <t>Risk days</t>
  </si>
  <si>
    <t>Cost (base+cont.)</t>
  </si>
  <si>
    <t>Notes</t>
  </si>
  <si>
    <t>Redshift warehouse + dbt foundation</t>
  </si>
  <si>
    <t>1</t>
  </si>
  <si>
    <t>—</t>
  </si>
  <si>
    <t>CTO-agreed: 2 wks. Raw/staging/mart, dbt init, self-hosted Airbyte infra stood up.</t>
  </si>
  <si>
    <t>Connector builds — existing Airbyte sources</t>
  </si>
  <si>
    <t>~half the 10 sources exist in Airbyte; fast config. Part of CTO 4-wk connector estimate.</t>
  </si>
  <si>
    <t>Connector builds — custom CDK sources</t>
  </si>
  <si>
    <t>Yes</t>
  </si>
  <si>
    <t>Custom CDK for sources not in Airbyte (e.g. Eloqua activity, Dynamics audit, internal dashboard). Higher uncertainty.</t>
  </si>
  <si>
    <t>WP1 — Channel efficiency (CPL, CPA)</t>
  </si>
  <si>
    <t>2-3</t>
  </si>
  <si>
    <t>Ad platforms + GA4 + Search Console + CRM lead counts. Cost per lead / per action by channel. FASTEST metric to value. (CPS needs deal join -&gt; WP2.)</t>
  </si>
  <si>
    <t>WP2 — Acquisition economics (CPS, CAC by source)</t>
  </si>
  <si>
    <t>Adds CRM pipeline + lead-source + closed-deal join. Cost per SALE and CAC by source. 'Sale' = closed deal/subscription in Dynamics, not an ad event.</t>
  </si>
  <si>
    <t>WP3 — Click-to-revenue attribution</t>
  </si>
  <si>
    <t>Identity stitching click-&gt;lead-&gt;deal. 'Which channel drives REVENUE.' First/last/data-driven models. The hard one.</t>
  </si>
  <si>
    <t>WP4 — Unit economics (LTV, LTV:CAC)</t>
  </si>
  <si>
    <t>Adds finance/orders realised revenue, joined to accounts. Real LTV and LTV:CAC by source.</t>
  </si>
  <si>
    <t>Analytics &amp; AI — modelling that fuels reports</t>
  </si>
  <si>
    <t>3</t>
  </si>
  <si>
    <t>ANALYST side: anomaly logic, forecast models, the analytics behind alerts/reports, NL Q&amp;A model in Konekti.</t>
  </si>
  <si>
    <t>Automation &amp; downstream wiring (Konekti + n8n + Teams)</t>
  </si>
  <si>
    <t>DEV side: wire Konekti outputs into n8n workflows, push automated reports to Teams, build alert plumbing &amp; integrations. Min. 15 days; runs in parallel across the project.</t>
  </si>
  <si>
    <t>Handover: docs, training, SLA</t>
  </si>
  <si>
    <t>4</t>
  </si>
  <si>
    <t>Lightweight.</t>
  </si>
  <si>
    <t>TOTAL — base effort</t>
  </si>
  <si>
    <t>Loaded effort incl. contingency (days)</t>
  </si>
  <si>
    <t>Excl. client-responsiveness rework premium (added in Scenarios).</t>
  </si>
  <si>
    <t>SCENARIOS — cost (effort) and calendar (time) shown SEPARATELY</t>
  </si>
  <si>
    <t>A · COST — driven by EFFORT (changes little with client speed)</t>
  </si>
  <si>
    <t>Scenario</t>
  </si>
  <si>
    <t>Effort (days)</t>
  </si>
  <si>
    <t>Rework premium</t>
  </si>
  <si>
    <t>Total cost (services)</t>
  </si>
  <si>
    <t>Driver</t>
  </si>
  <si>
    <t>Responsive client</t>
  </si>
  <si>
    <t>No restarts; rework premium not applied</t>
  </si>
  <si>
    <t>Realistic</t>
  </si>
  <si>
    <t>Half the rework premium — normal friction</t>
  </si>
  <si>
    <t>Slow client</t>
  </si>
  <si>
    <t>Full rework premium — cold restarts add effort</t>
  </si>
  <si>
    <t>B · CALENDAR — driven by client RESPONSIVENESS (does NOT change the price)</t>
  </si>
  <si>
    <t>Flow efficiency</t>
  </si>
  <si>
    <t>Elapsed months</t>
  </si>
  <si>
    <t>CEO's read</t>
  </si>
  <si>
    <t>Fast / responsive</t>
  </si>
  <si>
    <t>~6 months ('fast' per CEO)</t>
  </si>
  <si>
    <t>~9 months ('realistic' per CEO)</t>
  </si>
  <si>
    <t>Slow / unresponsive</t>
  </si>
  <si>
    <t>up to ~12 months per CEO</t>
  </si>
  <si>
    <t>C · YEAR-ONE ALL-IN  (services + first-year Konekti license)</t>
  </si>
  <si>
    <t>Services</t>
  </si>
  <si>
    <t>License (yr 1)</t>
  </si>
  <si>
    <t>Year-1 total</t>
  </si>
  <si>
    <t>Note</t>
  </si>
  <si>
    <t>Low (responsive)</t>
  </si>
  <si>
    <t>Floor; clean &amp; fast</t>
  </si>
  <si>
    <t>Plan around this</t>
  </si>
  <si>
    <t>High (slow + risk realised)</t>
  </si>
  <si>
    <t>Slow client; risk WPs overrun</t>
  </si>
  <si>
    <t>+ LLM API usage: TBD pass-through, NOT included.  + Year-2 onward: license €90k/yr recurring.</t>
  </si>
  <si>
    <t>HOW TO USE THIS: the COST (block A) is what you quote and what it costs you to deliver — it barely moves with client speed. The CALENDAR (block B) is the timeline COMMITMENT — that's what flexes 6-&gt;9-&gt;12 months on client responsiveness. Quote a fixed price band off block A; commit to a timeline RANGE off block B, with a clause that elapsed time assumes agreed client response SLAs (access, answers, approvals).</t>
  </si>
  <si>
    <t>WP1 — FIRST-QUOTE PACKAGE (lead with this)</t>
  </si>
  <si>
    <t>Quote ONE package tight first. WP1 = Channel efficiency: CPL / CPA by channel — the fastest of Andrzej's named metrics to deliver. NOTE: this assumes the FULL foundation is built first — full Redshift config, ALL connectors, then dbt on top — because the data model and later WPs all depend on it. So WP1's price carries the whole foundation.</t>
  </si>
  <si>
    <t>Component</t>
  </si>
  <si>
    <t>Days</t>
  </si>
  <si>
    <t>Cost</t>
  </si>
  <si>
    <t>Full Redshift configuration</t>
  </si>
  <si>
    <t>Complete warehouse setup: raw/staging/mart scaffolding.</t>
  </si>
  <si>
    <t>All connectors built (existing Airbyte + custom CDK)</t>
  </si>
  <si>
    <t>Every source landed — existing config + custom CDK builds. The full Layer-1 effort up front.</t>
  </si>
  <si>
    <t>dbt + transformation layer on landed data</t>
  </si>
  <si>
    <t>Built once all connectors are landing; the modelling backbone.</t>
  </si>
  <si>
    <t>Model channel efficiency (CPL/CPA) + NL Q&amp;A</t>
  </si>
  <si>
    <t>Analyst side: the WP1 metric model + conversational layer.</t>
  </si>
  <si>
    <t>Lightweight handover for WP1</t>
  </si>
  <si>
    <t>Docs + walkthrough for first package.</t>
  </si>
  <si>
    <t>WP1 base</t>
  </si>
  <si>
    <t>WP1 with 15% contingency</t>
  </si>
  <si>
    <t>The narrow first-quote number.</t>
  </si>
  <si>
    <t>Sequence the rest (WP2-&gt;WP4 + analytics layer) after WP1 lands and the tech answers tighten the risk WPs.</t>
  </si>
  <si>
    <t>WORK PACKAGES ANCHORED TO ANDRZEJ'S METRICS</t>
  </si>
  <si>
    <t>Each WP = a metric Andrzej named + the question it answers + the data it needs. Ordered fastest-metric-to-value. End-to-end view is built iteratively: every WP adds the next layer of the click-&gt;lead-&gt;deal-&gt;revenue funnel.</t>
  </si>
  <si>
    <t>Work package</t>
  </si>
  <si>
    <t>Metric(s) answered</t>
  </si>
  <si>
    <t>Andrzej's question</t>
  </si>
  <si>
    <t>Data needed</t>
  </si>
  <si>
    <t>Order</t>
  </si>
  <si>
    <t>Foundation</t>
  </si>
  <si>
    <t>(enabling)</t>
  </si>
  <si>
    <t>Stand up the warehouse so anything can land</t>
  </si>
  <si>
    <t>Redshift + dbt + self-hosted Airbyte</t>
  </si>
  <si>
    <t>0 — first</t>
  </si>
  <si>
    <t>WP1 Channel efficiency</t>
  </si>
  <si>
    <t>CPL, CPA</t>
  </si>
  <si>
    <t>What does each channel cost per lead / per action?</t>
  </si>
  <si>
    <t>Ad platforms, GA4, Search Console, CRM lead counts</t>
  </si>
  <si>
    <t>1 — fastest value</t>
  </si>
  <si>
    <t>WP2 Acquisition economics</t>
  </si>
  <si>
    <t>CPS, CAC by source</t>
  </si>
  <si>
    <t>Cost per SALE, and which sources produce DEALS not just leads?</t>
  </si>
  <si>
    <t>+ CRM pipeline, lead-source &amp; closed-deal join</t>
  </si>
  <si>
    <t>2</t>
  </si>
  <si>
    <t>WP3 Click-to-revenue attribution</t>
  </si>
  <si>
    <t>Channel-&gt;revenue; first/last/data-driven</t>
  </si>
  <si>
    <t>Which channel actually drives REVENUE? Under which attribution model?</t>
  </si>
  <si>
    <t>+ identity stitching click-&gt;lead-&gt;deal (UTM/click-ID)</t>
  </si>
  <si>
    <t>3 — hardest</t>
  </si>
  <si>
    <t>WP4 Unit economics</t>
  </si>
  <si>
    <t>LTV, LTV:CAC</t>
  </si>
  <si>
    <t>What is real LTV and LTV:CAC per source?</t>
  </si>
  <si>
    <t>+ finance/orders realised revenue, joined to accounts</t>
  </si>
  <si>
    <t>4 — deepest data</t>
  </si>
  <si>
    <t>Analytics &amp; AI layer</t>
  </si>
  <si>
    <t>All, conversational</t>
  </si>
  <si>
    <t>Alerts, weekly Teams reports, forecasting, ask-in-plain-language</t>
  </si>
  <si>
    <t>Full model (cross-cutting)</t>
  </si>
  <si>
    <t>Throughout</t>
  </si>
  <si>
    <t>Automation &amp; downstream wiring</t>
  </si>
  <si>
    <t>(delivery)</t>
  </si>
  <si>
    <t>Push reports to Teams, n8n workflows, alert plumbing</t>
  </si>
  <si>
    <t>Konekti + n8n + Teams integration (dev)</t>
  </si>
  <si>
    <t>WHY THIS ORDER: the metrics have a natural dependency chain that also matches data-source readiness. CPL/CPA need only spend + lead counts (fast). CAC adds won-deal linkage. Channel-&gt;revenue needs identity resolution (hard). LTV:CAC needs realised revenue (deepest). So sequencing by fastest-metric-to-value ALSO builds the end-to-end funnel in the only order the data allows — no conflict between 'quick wins' and 'full picture'.</t>
  </si>
  <si>
    <t>PARALLEL DELIVERY — dev lands a source, Konekti models it, dev flips to next</t>
  </si>
  <si>
    <t>The handoff: source connected -&gt; landed structure in Redshift (dev) -&gt; objects/activities modelled in Konekti (Adam) -&gt; insights/reports/automations out. As soon as one source lands, Adam models while dev moves to the next. Calendar shown realistic (~9mo); compresses with a responsive client.</t>
  </si>
  <si>
    <t>Stream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</si>
  <si>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</si>
  <si>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</si>
  <si>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</si>
  <si>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</si>
  <si>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</si>
  <si>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</si>
  <si>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</si>
  <si>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</si>
  <si>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</si>
  <si>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Foundation (Redshift/dbt/Airbyte)</t>
  </si>
  <si>
    <t>DEV: land WP1 sources</t>
  </si>
  <si>
    <t>ANALYST: model WP1 (CPL/CPA)</t>
  </si>
  <si>
    <t>DEV: land WP2 sources</t>
  </si>
  <si>
    <t>ANALYST: model WP2 (CPS/CAC)</t>
  </si>
  <si>
    <t>DEV: land WP3 sources + identity</t>
  </si>
  <si>
    <t>ANALYST: model WP3 (attribution)</t>
  </si>
  <si>
    <t>DEV: land WP4 finance source</t>
  </si>
  <si>
    <t>ANALYST: model WP4 (LTV:CAC)</t>
  </si>
  <si>
    <t>Analytics/AI: alerts, Teams, forecast, Q&amp;A</t>
  </si>
  <si>
    <t>Handover, docs, training, SLA</t>
  </si>
  <si>
    <t>Legend:</t>
  </si>
  <si>
    <t>Dev</t>
  </si>
  <si>
    <t>Analyst</t>
  </si>
  <si>
    <t>Analytics</t>
  </si>
  <si>
    <t>First usable metric (WP1 CPL/CPA) lands ~M2-M3, not at the end. Each later WP delivers its metric as its data lands, so Andrzej sees value continuously while the end-to-end model fills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</si>
</sst>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"/>
    <numFmt numFmtId="165" formatCode="#,##0.0;\(#,##0.0\);\-"/>
    <numFmt numFmtId="166" formatCode="\€#,##0;&quot;(€&quot;#,##0\);\-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i/>
      <sz val="10"/>
      <color rgb="FFC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9E1F2"/>
      </patternFill>
    </fill>
    <fill>
      <patternFill patternType="solid">
        <fgColor rgb="FF538135"/>
        <bgColor rgb="FF808000"/>
      </patternFill>
    </fill>
    <fill>
      <patternFill patternType="solid">
        <fgColor rgb="FFBF8F00"/>
        <bgColor rgb="FF808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6" borderId="0" xfId="0" applyFont="1" applyFill="1"/>
    <xf numFmtId="0" fontId="0" fillId="0" borderId="1" xfId="0" applyBorder="1"/>
    <xf numFmtId="0" fontId="3" fillId="3" borderId="0" xfId="0" applyFont="1" applyFill="1"/>
    <xf numFmtId="0" fontId="2" fillId="0" borderId="0" xfId="0" applyFont="1"/>
    <xf numFmtId="0" fontId="1" fillId="2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right" vertical="center"/>
    </xf>
    <xf numFmtId="9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 wrapText="1"/>
    </xf>
    <xf numFmtId="165" fontId="4" fillId="7" borderId="1" xfId="0" applyNumberFormat="1" applyFont="1" applyFill="1" applyBorder="1" applyAlignment="1">
      <alignment horizontal="right" vertical="center"/>
    </xf>
    <xf numFmtId="166" fontId="4" fillId="7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 wrapText="1"/>
    </xf>
    <xf numFmtId="165" fontId="7" fillId="7" borderId="1" xfId="0" applyNumberFormat="1" applyFont="1" applyFill="1" applyBorder="1" applyAlignment="1">
      <alignment horizontal="right" vertical="center"/>
    </xf>
    <xf numFmtId="166" fontId="7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right" vertical="center"/>
    </xf>
    <xf numFmtId="9" fontId="7" fillId="0" borderId="1" xfId="0" applyNumberFormat="1" applyFont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right" vertical="center"/>
    </xf>
    <xf numFmtId="9" fontId="7" fillId="7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right" vertical="center"/>
    </xf>
    <xf numFmtId="166" fontId="8" fillId="7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8" borderId="1" xfId="0" applyFill="1" applyBorder="1"/>
    <xf numFmtId="0" fontId="0" fillId="9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55555"/>
      <rgbColor rgb="FF969696"/>
      <rgbColor rgb="FF1F3864"/>
      <rgbColor rgb="FF538135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showGridLines="0" zoomScaleNormal="100" workbookViewId="0">
      <selection activeCell="E21" sqref="E21"/>
    </sheetView>
  </sheetViews>
  <sheetFormatPr defaultColWidth="8.7109375" defaultRowHeight="15" x14ac:dyDescent="0.25"/>
  <cols>
    <col min="1" max="1" width="44" customWidth="1"/>
    <col min="2" max="2" width="14" customWidth="1"/>
    <col min="3" max="4" width="4" customWidth="1"/>
    <col min="5" max="5" width="52" customWidth="1"/>
  </cols>
  <sheetData>
    <row r="1" spans="1:5" ht="25.5" customHeight="1" x14ac:dyDescent="0.25">
      <c r="A1" s="8" t="s">
        <v>0</v>
      </c>
      <c r="B1" s="8"/>
      <c r="C1" s="8"/>
      <c r="D1" s="8"/>
      <c r="E1" s="8"/>
    </row>
    <row r="2" spans="1:5" x14ac:dyDescent="0.25">
      <c r="A2" s="7" t="s">
        <v>1</v>
      </c>
      <c r="B2" s="7"/>
      <c r="C2" s="7"/>
      <c r="D2" s="7"/>
      <c r="E2" s="7"/>
    </row>
    <row r="4" spans="1:5" x14ac:dyDescent="0.25">
      <c r="A4" s="6" t="s">
        <v>2</v>
      </c>
      <c r="B4" s="6"/>
      <c r="C4" s="6"/>
      <c r="D4" s="6"/>
      <c r="E4" s="6"/>
    </row>
    <row r="5" spans="1:5" x14ac:dyDescent="0.25">
      <c r="A5" s="9"/>
      <c r="B5" s="9"/>
      <c r="C5" s="9"/>
      <c r="D5" s="9"/>
      <c r="E5" s="9"/>
    </row>
    <row r="6" spans="1:5" x14ac:dyDescent="0.25">
      <c r="A6" s="10" t="s">
        <v>3</v>
      </c>
      <c r="B6" s="11">
        <v>1100</v>
      </c>
      <c r="C6" s="5"/>
      <c r="D6" s="5"/>
      <c r="E6" s="13" t="s">
        <v>4</v>
      </c>
    </row>
    <row r="7" spans="1:5" x14ac:dyDescent="0.25">
      <c r="A7" s="10" t="s">
        <v>5</v>
      </c>
      <c r="B7" s="14">
        <v>5</v>
      </c>
      <c r="C7" s="5"/>
      <c r="D7" s="5"/>
      <c r="E7" s="13" t="s">
        <v>6</v>
      </c>
    </row>
    <row r="8" spans="1:5" x14ac:dyDescent="0.25">
      <c r="A8" s="10" t="s">
        <v>7</v>
      </c>
      <c r="B8" s="11">
        <v>1000</v>
      </c>
      <c r="C8" s="5"/>
      <c r="D8" s="5"/>
      <c r="E8" s="13" t="s">
        <v>8</v>
      </c>
    </row>
    <row r="9" spans="1:5" x14ac:dyDescent="0.25">
      <c r="A9" s="10" t="s">
        <v>9</v>
      </c>
      <c r="B9" s="11">
        <v>1250</v>
      </c>
      <c r="C9" s="5"/>
      <c r="D9" s="5"/>
      <c r="E9" s="13" t="s">
        <v>10</v>
      </c>
    </row>
    <row r="11" spans="1:5" x14ac:dyDescent="0.25">
      <c r="A11" s="6" t="s">
        <v>11</v>
      </c>
      <c r="B11" s="6"/>
      <c r="C11" s="6"/>
      <c r="D11" s="6"/>
      <c r="E11" s="6"/>
    </row>
    <row r="12" spans="1:5" x14ac:dyDescent="0.25">
      <c r="A12" s="9"/>
      <c r="B12" s="9"/>
      <c r="C12" s="9"/>
      <c r="D12" s="9"/>
      <c r="E12" s="9"/>
    </row>
    <row r="13" spans="1:5" ht="24" x14ac:dyDescent="0.25">
      <c r="A13" s="10" t="s">
        <v>12</v>
      </c>
      <c r="B13" s="15">
        <v>0.15</v>
      </c>
      <c r="C13" s="5"/>
      <c r="D13" s="5"/>
      <c r="E13" s="13" t="s">
        <v>13</v>
      </c>
    </row>
    <row r="14" spans="1:5" ht="24" x14ac:dyDescent="0.25">
      <c r="A14" s="10" t="s">
        <v>14</v>
      </c>
      <c r="B14" s="15">
        <v>0.25</v>
      </c>
      <c r="C14" s="5"/>
      <c r="D14" s="5"/>
      <c r="E14" s="13" t="s">
        <v>15</v>
      </c>
    </row>
    <row r="15" spans="1:5" ht="24" x14ac:dyDescent="0.25">
      <c r="A15" s="10" t="s">
        <v>16</v>
      </c>
      <c r="B15" s="15">
        <v>0.08</v>
      </c>
      <c r="C15" s="5"/>
      <c r="D15" s="5"/>
      <c r="E15" s="13" t="s">
        <v>17</v>
      </c>
    </row>
    <row r="17" spans="1:5" x14ac:dyDescent="0.25">
      <c r="A17" s="6" t="s">
        <v>18</v>
      </c>
      <c r="B17" s="6"/>
      <c r="C17" s="6"/>
      <c r="D17" s="6"/>
      <c r="E17" s="6"/>
    </row>
    <row r="18" spans="1:5" x14ac:dyDescent="0.25">
      <c r="A18" s="9"/>
      <c r="B18" s="9"/>
      <c r="C18" s="9"/>
      <c r="D18" s="9"/>
      <c r="E18" s="9"/>
    </row>
    <row r="19" spans="1:5" ht="24" x14ac:dyDescent="0.25">
      <c r="A19" s="10" t="s">
        <v>19</v>
      </c>
      <c r="B19" s="16">
        <v>1.5</v>
      </c>
      <c r="C19" s="5"/>
      <c r="D19" s="5"/>
      <c r="E19" s="13" t="s">
        <v>20</v>
      </c>
    </row>
    <row r="20" spans="1:5" ht="24" x14ac:dyDescent="0.25">
      <c r="A20" s="10" t="s">
        <v>21</v>
      </c>
      <c r="B20" s="15">
        <v>0.65</v>
      </c>
      <c r="C20" s="5"/>
      <c r="D20" s="5"/>
      <c r="E20" s="13" t="s">
        <v>22</v>
      </c>
    </row>
    <row r="21" spans="1:5" x14ac:dyDescent="0.25">
      <c r="A21" s="10" t="s">
        <v>23</v>
      </c>
      <c r="B21" s="15">
        <v>0.5</v>
      </c>
      <c r="C21" s="5"/>
      <c r="D21" s="5"/>
      <c r="E21" s="13" t="s">
        <v>24</v>
      </c>
    </row>
    <row r="22" spans="1:5" x14ac:dyDescent="0.25">
      <c r="A22" s="10" t="s">
        <v>25</v>
      </c>
      <c r="B22" s="15">
        <v>0.35</v>
      </c>
      <c r="C22" s="5"/>
      <c r="D22" s="5"/>
      <c r="E22" s="13" t="s">
        <v>26</v>
      </c>
    </row>
    <row r="24" spans="1:5" x14ac:dyDescent="0.25">
      <c r="A24" s="6" t="s">
        <v>27</v>
      </c>
      <c r="B24" s="6"/>
      <c r="C24" s="6"/>
      <c r="D24" s="6"/>
      <c r="E24" s="6"/>
    </row>
    <row r="25" spans="1:5" x14ac:dyDescent="0.25">
      <c r="A25" s="9"/>
      <c r="B25" s="9"/>
      <c r="C25" s="9"/>
      <c r="D25" s="9"/>
      <c r="E25" s="9"/>
    </row>
    <row r="26" spans="1:5" x14ac:dyDescent="0.25">
      <c r="A26" s="10" t="s">
        <v>28</v>
      </c>
      <c r="B26" s="11">
        <v>7500</v>
      </c>
      <c r="C26" s="5"/>
      <c r="D26" s="5"/>
      <c r="E26" s="13" t="s">
        <v>29</v>
      </c>
    </row>
    <row r="27" spans="1:5" x14ac:dyDescent="0.25">
      <c r="A27" s="10" t="s">
        <v>30</v>
      </c>
      <c r="B27" s="14">
        <v>12</v>
      </c>
      <c r="C27" s="5"/>
      <c r="D27" s="5"/>
      <c r="E27" s="13" t="s">
        <v>31</v>
      </c>
    </row>
    <row r="29" spans="1:5" x14ac:dyDescent="0.25">
      <c r="A29" s="4" t="s">
        <v>32</v>
      </c>
      <c r="B29" s="4"/>
      <c r="C29" s="4"/>
      <c r="D29" s="4"/>
      <c r="E29" s="4"/>
    </row>
    <row r="30" spans="1:5" ht="42" customHeight="1" x14ac:dyDescent="0.25">
      <c r="A30" s="3" t="s">
        <v>33</v>
      </c>
      <c r="B30" s="3"/>
      <c r="C30" s="3"/>
      <c r="D30" s="3"/>
      <c r="E30" s="3"/>
    </row>
    <row r="31" spans="1:5" ht="42" customHeight="1" x14ac:dyDescent="0.25">
      <c r="A31" s="3" t="s">
        <v>34</v>
      </c>
      <c r="B31" s="3"/>
      <c r="C31" s="3"/>
      <c r="D31" s="3"/>
      <c r="E31" s="3"/>
    </row>
    <row r="32" spans="1:5" ht="42" customHeight="1" x14ac:dyDescent="0.25">
      <c r="A32" s="3" t="s">
        <v>35</v>
      </c>
      <c r="B32" s="3"/>
      <c r="C32" s="3"/>
      <c r="D32" s="3"/>
      <c r="E32" s="3"/>
    </row>
  </sheetData>
  <mergeCells count="23">
    <mergeCell ref="A30:E30"/>
    <mergeCell ref="A31:E31"/>
    <mergeCell ref="A32:E32"/>
    <mergeCell ref="C22:D22"/>
    <mergeCell ref="A24:E24"/>
    <mergeCell ref="C26:D26"/>
    <mergeCell ref="C27:D27"/>
    <mergeCell ref="A29:E29"/>
    <mergeCell ref="C15:D15"/>
    <mergeCell ref="A17:E17"/>
    <mergeCell ref="C19:D19"/>
    <mergeCell ref="C20:D20"/>
    <mergeCell ref="C21:D21"/>
    <mergeCell ref="C8:D8"/>
    <mergeCell ref="C9:D9"/>
    <mergeCell ref="A11:E11"/>
    <mergeCell ref="C13:D13"/>
    <mergeCell ref="C14:D14"/>
    <mergeCell ref="A1:E1"/>
    <mergeCell ref="A2:E2"/>
    <mergeCell ref="A4:E4"/>
    <mergeCell ref="C6:D6"/>
    <mergeCell ref="C7:D7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Konekti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32" customWidth="1"/>
    <col min="2" max="2" width="8" customWidth="1"/>
    <col min="3" max="5" width="10" customWidth="1"/>
    <col min="6" max="6" width="9" customWidth="1"/>
    <col min="7" max="7" width="8" customWidth="1"/>
    <col min="8" max="8" width="11" customWidth="1"/>
    <col min="9" max="9" width="67.28515625" customWidth="1"/>
  </cols>
  <sheetData>
    <row r="1" spans="1:9" ht="24" customHeight="1" x14ac:dyDescent="0.25">
      <c r="A1" s="8" t="s">
        <v>36</v>
      </c>
      <c r="B1" s="8"/>
      <c r="C1" s="8"/>
      <c r="D1" s="8"/>
      <c r="E1" s="8"/>
      <c r="F1" s="8"/>
      <c r="G1" s="8"/>
      <c r="H1" s="8"/>
      <c r="I1" s="8"/>
    </row>
    <row r="2" spans="1:9" ht="27.75" customHeight="1" x14ac:dyDescent="0.25">
      <c r="A2" s="7" t="s">
        <v>37</v>
      </c>
      <c r="B2" s="7"/>
      <c r="C2" s="7"/>
      <c r="D2" s="7"/>
      <c r="E2" s="7"/>
      <c r="F2" s="7"/>
      <c r="G2" s="7"/>
      <c r="H2" s="7"/>
      <c r="I2" s="7"/>
    </row>
    <row r="4" spans="1:9" ht="45" x14ac:dyDescent="0.25">
      <c r="A4" s="17" t="s">
        <v>38</v>
      </c>
      <c r="B4" s="17" t="s">
        <v>39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44</v>
      </c>
      <c r="H4" s="17" t="s">
        <v>45</v>
      </c>
      <c r="I4" s="17" t="s">
        <v>46</v>
      </c>
    </row>
    <row r="5" spans="1:9" ht="30" customHeight="1" x14ac:dyDescent="0.25">
      <c r="A5" s="10" t="s">
        <v>47</v>
      </c>
      <c r="B5" s="18" t="s">
        <v>48</v>
      </c>
      <c r="C5" s="14">
        <v>10</v>
      </c>
      <c r="D5" s="14">
        <v>0</v>
      </c>
      <c r="E5" s="19">
        <f t="shared" ref="E5:E14" si="0">C5+D5</f>
        <v>10</v>
      </c>
      <c r="F5" s="20" t="s">
        <v>49</v>
      </c>
      <c r="G5" s="19">
        <f>IF(F5="Yes",E5*Assumptions!$B$14,0)</f>
        <v>0</v>
      </c>
      <c r="H5" s="21">
        <f>(E5*(1+Assumptions!$B$13)+G5)*Assumptions!$B$6</f>
        <v>12650</v>
      </c>
      <c r="I5" s="13" t="s">
        <v>50</v>
      </c>
    </row>
    <row r="6" spans="1:9" ht="30" customHeight="1" x14ac:dyDescent="0.25">
      <c r="A6" s="10" t="s">
        <v>51</v>
      </c>
      <c r="B6" s="18" t="s">
        <v>48</v>
      </c>
      <c r="C6" s="14">
        <v>10</v>
      </c>
      <c r="D6" s="14">
        <v>0</v>
      </c>
      <c r="E6" s="19">
        <f t="shared" si="0"/>
        <v>10</v>
      </c>
      <c r="F6" s="20" t="s">
        <v>49</v>
      </c>
      <c r="G6" s="19">
        <f>IF(F6="Yes",E6*Assumptions!$B$14,0)</f>
        <v>0</v>
      </c>
      <c r="H6" s="21">
        <f>(E6*(1+Assumptions!$B$13)+G6)*Assumptions!$B$6</f>
        <v>12650</v>
      </c>
      <c r="I6" s="13" t="s">
        <v>52</v>
      </c>
    </row>
    <row r="7" spans="1:9" ht="30" customHeight="1" x14ac:dyDescent="0.25">
      <c r="A7" s="10" t="s">
        <v>53</v>
      </c>
      <c r="B7" s="18" t="s">
        <v>48</v>
      </c>
      <c r="C7" s="14">
        <v>10</v>
      </c>
      <c r="D7" s="14">
        <v>0</v>
      </c>
      <c r="E7" s="19">
        <f t="shared" si="0"/>
        <v>10</v>
      </c>
      <c r="F7" s="22" t="s">
        <v>54</v>
      </c>
      <c r="G7" s="19">
        <f>IF(F7="Yes",E7*Assumptions!$B$14,0)</f>
        <v>2.5</v>
      </c>
      <c r="H7" s="21">
        <f>(E7*(1+Assumptions!$B$13)+G7)*Assumptions!$B$6</f>
        <v>15400</v>
      </c>
      <c r="I7" s="13" t="s">
        <v>55</v>
      </c>
    </row>
    <row r="8" spans="1:9" ht="30" customHeight="1" x14ac:dyDescent="0.25">
      <c r="A8" s="10" t="s">
        <v>56</v>
      </c>
      <c r="B8" s="18" t="s">
        <v>57</v>
      </c>
      <c r="C8" s="14">
        <v>3</v>
      </c>
      <c r="D8" s="14">
        <v>6</v>
      </c>
      <c r="E8" s="19">
        <f t="shared" si="0"/>
        <v>9</v>
      </c>
      <c r="F8" s="20" t="s">
        <v>49</v>
      </c>
      <c r="G8" s="19">
        <f>IF(F8="Yes",E8*Assumptions!$B$14,0)</f>
        <v>0</v>
      </c>
      <c r="H8" s="21">
        <f>(E8*(1+Assumptions!$B$13)+G8)*Assumptions!$B$6</f>
        <v>11385</v>
      </c>
      <c r="I8" s="13" t="s">
        <v>58</v>
      </c>
    </row>
    <row r="9" spans="1:9" ht="30" customHeight="1" x14ac:dyDescent="0.25">
      <c r="A9" s="10" t="s">
        <v>59</v>
      </c>
      <c r="B9" s="18" t="s">
        <v>57</v>
      </c>
      <c r="C9" s="14">
        <v>2</v>
      </c>
      <c r="D9" s="14">
        <v>6</v>
      </c>
      <c r="E9" s="19">
        <f t="shared" si="0"/>
        <v>8</v>
      </c>
      <c r="F9" s="20" t="s">
        <v>49</v>
      </c>
      <c r="G9" s="19">
        <f>IF(F9="Yes",E9*Assumptions!$B$14,0)</f>
        <v>0</v>
      </c>
      <c r="H9" s="21">
        <f>(E9*(1+Assumptions!$B$13)+G9)*Assumptions!$B$6</f>
        <v>10120</v>
      </c>
      <c r="I9" s="13" t="s">
        <v>60</v>
      </c>
    </row>
    <row r="10" spans="1:9" ht="30" customHeight="1" x14ac:dyDescent="0.25">
      <c r="A10" s="10" t="s">
        <v>61</v>
      </c>
      <c r="B10" s="18" t="s">
        <v>57</v>
      </c>
      <c r="C10" s="14">
        <v>12</v>
      </c>
      <c r="D10" s="14">
        <v>8</v>
      </c>
      <c r="E10" s="19">
        <f t="shared" si="0"/>
        <v>20</v>
      </c>
      <c r="F10" s="22" t="s">
        <v>54</v>
      </c>
      <c r="G10" s="19">
        <f>IF(F10="Yes",E10*Assumptions!$B$14,0)</f>
        <v>5</v>
      </c>
      <c r="H10" s="21">
        <f>(E10*(1+Assumptions!$B$13)+G10)*Assumptions!$B$6</f>
        <v>30800</v>
      </c>
      <c r="I10" s="13" t="s">
        <v>62</v>
      </c>
    </row>
    <row r="11" spans="1:9" ht="30" customHeight="1" x14ac:dyDescent="0.25">
      <c r="A11" s="10" t="s">
        <v>63</v>
      </c>
      <c r="B11" s="18" t="s">
        <v>57</v>
      </c>
      <c r="C11" s="14">
        <v>4</v>
      </c>
      <c r="D11" s="14">
        <v>5</v>
      </c>
      <c r="E11" s="19">
        <f t="shared" si="0"/>
        <v>9</v>
      </c>
      <c r="F11" s="22" t="s">
        <v>54</v>
      </c>
      <c r="G11" s="19">
        <f>IF(F11="Yes",E11*Assumptions!$B$14,0)</f>
        <v>2.25</v>
      </c>
      <c r="H11" s="21">
        <f>(E11*(1+Assumptions!$B$13)+G11)*Assumptions!$B$6</f>
        <v>13860</v>
      </c>
      <c r="I11" s="13" t="s">
        <v>64</v>
      </c>
    </row>
    <row r="12" spans="1:9" ht="30" customHeight="1" x14ac:dyDescent="0.25">
      <c r="A12" s="10" t="s">
        <v>65</v>
      </c>
      <c r="B12" s="18" t="s">
        <v>66</v>
      </c>
      <c r="C12" s="14">
        <v>0</v>
      </c>
      <c r="D12" s="14">
        <v>8</v>
      </c>
      <c r="E12" s="19">
        <f t="shared" si="0"/>
        <v>8</v>
      </c>
      <c r="F12" s="20" t="s">
        <v>49</v>
      </c>
      <c r="G12" s="19">
        <f>IF(F12="Yes",E12*Assumptions!$B$14,0)</f>
        <v>0</v>
      </c>
      <c r="H12" s="21">
        <f>(E12*(1+Assumptions!$B$13)+G12)*Assumptions!$B$6</f>
        <v>10120</v>
      </c>
      <c r="I12" s="13" t="s">
        <v>67</v>
      </c>
    </row>
    <row r="13" spans="1:9" ht="30" customHeight="1" x14ac:dyDescent="0.25">
      <c r="A13" s="10" t="s">
        <v>68</v>
      </c>
      <c r="B13" s="18" t="s">
        <v>66</v>
      </c>
      <c r="C13" s="14">
        <v>15</v>
      </c>
      <c r="D13" s="14">
        <v>0</v>
      </c>
      <c r="E13" s="19">
        <f t="shared" si="0"/>
        <v>15</v>
      </c>
      <c r="F13" s="20" t="s">
        <v>49</v>
      </c>
      <c r="G13" s="19">
        <f>IF(F13="Yes",E13*Assumptions!$B$14,0)</f>
        <v>0</v>
      </c>
      <c r="H13" s="21">
        <f>(E13*(1+Assumptions!$B$13)+G13)*Assumptions!$B$6</f>
        <v>18975</v>
      </c>
      <c r="I13" s="13" t="s">
        <v>69</v>
      </c>
    </row>
    <row r="14" spans="1:9" ht="30" customHeight="1" x14ac:dyDescent="0.25">
      <c r="A14" s="10" t="s">
        <v>70</v>
      </c>
      <c r="B14" s="18" t="s">
        <v>71</v>
      </c>
      <c r="C14" s="14">
        <v>2</v>
      </c>
      <c r="D14" s="14">
        <v>5</v>
      </c>
      <c r="E14" s="19">
        <f t="shared" si="0"/>
        <v>7</v>
      </c>
      <c r="F14" s="20" t="s">
        <v>49</v>
      </c>
      <c r="G14" s="19">
        <f>IF(F14="Yes",E14*Assumptions!$B$14,0)</f>
        <v>0</v>
      </c>
      <c r="H14" s="21">
        <f>(E14*(1+Assumptions!$B$13)+G14)*Assumptions!$B$6</f>
        <v>8854.9999999999982</v>
      </c>
      <c r="I14" s="13" t="s">
        <v>72</v>
      </c>
    </row>
    <row r="15" spans="1:9" x14ac:dyDescent="0.25">
      <c r="A15" s="23" t="s">
        <v>73</v>
      </c>
      <c r="B15" s="23"/>
      <c r="C15" s="24">
        <f>SUM(C5:C14)</f>
        <v>68</v>
      </c>
      <c r="D15" s="24">
        <f>SUM(D5:D14)</f>
        <v>38</v>
      </c>
      <c r="E15" s="24">
        <f>SUM(E5:E14)</f>
        <v>106</v>
      </c>
      <c r="F15" s="9"/>
      <c r="G15" s="24">
        <f>SUM(G5:G14)</f>
        <v>9.75</v>
      </c>
      <c r="H15" s="25">
        <f>SUM(H5:H14)</f>
        <v>144815</v>
      </c>
      <c r="I15" s="23"/>
    </row>
    <row r="16" spans="1:9" ht="25.5" x14ac:dyDescent="0.25">
      <c r="A16" s="26" t="s">
        <v>74</v>
      </c>
      <c r="B16" s="26"/>
      <c r="C16" s="26"/>
      <c r="D16" s="26"/>
      <c r="E16" s="27">
        <f>'Effort Build-Up'!$E$15*(1+Assumptions!$B$13)+'Effort Build-Up'!$G$15</f>
        <v>131.64999999999998</v>
      </c>
      <c r="F16" s="26"/>
      <c r="G16" s="26"/>
      <c r="H16" s="28">
        <f>E16*Assumptions!$B$6</f>
        <v>144814.99999999997</v>
      </c>
      <c r="I16" s="29" t="s">
        <v>75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Konekti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tabSelected="1" zoomScaleNormal="100" workbookViewId="0">
      <selection activeCell="H16" sqref="H16"/>
    </sheetView>
  </sheetViews>
  <sheetFormatPr defaultColWidth="8.7109375" defaultRowHeight="15" x14ac:dyDescent="0.25"/>
  <cols>
    <col min="1" max="1" width="34" customWidth="1"/>
    <col min="2" max="5" width="16" customWidth="1"/>
    <col min="6" max="6" width="30" customWidth="1"/>
  </cols>
  <sheetData>
    <row r="1" spans="1:6" ht="24" customHeight="1" x14ac:dyDescent="0.25">
      <c r="A1" s="8" t="s">
        <v>76</v>
      </c>
      <c r="B1" s="8"/>
      <c r="C1" s="8"/>
      <c r="D1" s="8"/>
      <c r="E1" s="8"/>
      <c r="F1" s="8"/>
    </row>
    <row r="3" spans="1:6" x14ac:dyDescent="0.25">
      <c r="A3" s="6" t="s">
        <v>77</v>
      </c>
      <c r="B3" s="6"/>
      <c r="C3" s="6"/>
      <c r="D3" s="6"/>
      <c r="E3" s="6"/>
      <c r="F3" s="6"/>
    </row>
    <row r="4" spans="1:6" ht="25.5" x14ac:dyDescent="0.25">
      <c r="A4" s="9" t="s">
        <v>78</v>
      </c>
      <c r="B4" s="9" t="s">
        <v>79</v>
      </c>
      <c r="C4" s="9" t="s">
        <v>80</v>
      </c>
      <c r="D4" s="9" t="s">
        <v>81</v>
      </c>
      <c r="E4" s="9"/>
      <c r="F4" s="9" t="s">
        <v>82</v>
      </c>
    </row>
    <row r="5" spans="1:6" ht="24" x14ac:dyDescent="0.25">
      <c r="A5" s="10" t="s">
        <v>83</v>
      </c>
      <c r="B5" s="19">
        <f>'Effort Build-Up'!$E$16*(1+Assumptions!$B$15*0)</f>
        <v>131.64999999999998</v>
      </c>
      <c r="C5" s="21">
        <f>'Effort Build-Up'!$E$16*Assumptions!$B$15*0*Assumptions!$B$6</f>
        <v>0</v>
      </c>
      <c r="D5" s="21">
        <f>B5*Assumptions!$B$6</f>
        <v>144814.99999999997</v>
      </c>
      <c r="E5" s="10"/>
      <c r="F5" s="13" t="s">
        <v>84</v>
      </c>
    </row>
    <row r="6" spans="1:6" ht="24" x14ac:dyDescent="0.25">
      <c r="A6" s="26" t="s">
        <v>85</v>
      </c>
      <c r="B6" s="30">
        <f>'Effort Build-Up'!$E$16*(1+Assumptions!$B$15*0.5)</f>
        <v>136.91599999999997</v>
      </c>
      <c r="C6" s="31">
        <f>'Effort Build-Up'!$E$16*Assumptions!$B$15*0.5*Assumptions!$B$6</f>
        <v>5792.5999999999995</v>
      </c>
      <c r="D6" s="28">
        <f>B6*Assumptions!$B$6</f>
        <v>150607.59999999998</v>
      </c>
      <c r="E6" s="32"/>
      <c r="F6" s="29" t="s">
        <v>86</v>
      </c>
    </row>
    <row r="7" spans="1:6" ht="24" x14ac:dyDescent="0.25">
      <c r="A7" s="10" t="s">
        <v>87</v>
      </c>
      <c r="B7" s="19">
        <f>'Effort Build-Up'!$E$16*(1+Assumptions!$B$15*1)</f>
        <v>142.18199999999999</v>
      </c>
      <c r="C7" s="21">
        <f>'Effort Build-Up'!$E$16*Assumptions!$B$15*1*Assumptions!$B$6</f>
        <v>11585.199999999999</v>
      </c>
      <c r="D7" s="21">
        <f>B7*Assumptions!$B$6</f>
        <v>156400.19999999998</v>
      </c>
      <c r="E7" s="10"/>
      <c r="F7" s="13" t="s">
        <v>88</v>
      </c>
    </row>
    <row r="9" spans="1:6" x14ac:dyDescent="0.25">
      <c r="A9" s="6" t="s">
        <v>89</v>
      </c>
      <c r="B9" s="6"/>
      <c r="C9" s="6"/>
      <c r="D9" s="6"/>
      <c r="E9" s="6"/>
      <c r="F9" s="6"/>
    </row>
    <row r="10" spans="1:6" x14ac:dyDescent="0.25">
      <c r="A10" s="9" t="s">
        <v>78</v>
      </c>
      <c r="B10" s="9" t="s">
        <v>79</v>
      </c>
      <c r="C10" s="9" t="s">
        <v>90</v>
      </c>
      <c r="D10" s="9" t="s">
        <v>91</v>
      </c>
      <c r="E10" s="9"/>
      <c r="F10" s="9" t="s">
        <v>92</v>
      </c>
    </row>
    <row r="11" spans="1:6" x14ac:dyDescent="0.25">
      <c r="A11" s="10" t="s">
        <v>93</v>
      </c>
      <c r="B11" s="33">
        <f>B5</f>
        <v>131.64999999999998</v>
      </c>
      <c r="C11" s="34">
        <f>Assumptions!$B$20</f>
        <v>0.65</v>
      </c>
      <c r="D11" s="19">
        <f>B11/Assumptions!$B$19/C11/21.7</f>
        <v>6.2223797707668664</v>
      </c>
      <c r="E11" s="10"/>
      <c r="F11" s="13" t="s">
        <v>94</v>
      </c>
    </row>
    <row r="12" spans="1:6" x14ac:dyDescent="0.25">
      <c r="A12" s="26" t="s">
        <v>85</v>
      </c>
      <c r="B12" s="35">
        <f>B6</f>
        <v>136.91599999999997</v>
      </c>
      <c r="C12" s="36">
        <f>Assumptions!$B$21</f>
        <v>0.5</v>
      </c>
      <c r="D12" s="27">
        <f>B12/Assumptions!$B$19/C12/21.7</f>
        <v>8.4126574500768037</v>
      </c>
      <c r="E12" s="32"/>
      <c r="F12" s="29" t="s">
        <v>95</v>
      </c>
    </row>
    <row r="13" spans="1:6" x14ac:dyDescent="0.25">
      <c r="A13" s="10" t="s">
        <v>96</v>
      </c>
      <c r="B13" s="33">
        <f>B7</f>
        <v>142.18199999999999</v>
      </c>
      <c r="C13" s="34">
        <f>Assumptions!$B$22</f>
        <v>0.35</v>
      </c>
      <c r="D13" s="19">
        <f>B13/Assumptions!$B$19/C13/21.7</f>
        <v>12.48031599736669</v>
      </c>
      <c r="E13" s="10"/>
      <c r="F13" s="13" t="s">
        <v>97</v>
      </c>
    </row>
    <row r="15" spans="1:6" x14ac:dyDescent="0.25">
      <c r="A15" s="6" t="s">
        <v>98</v>
      </c>
      <c r="B15" s="6"/>
      <c r="C15" s="6"/>
      <c r="D15" s="6"/>
      <c r="E15" s="6"/>
      <c r="F15" s="6"/>
    </row>
    <row r="16" spans="1:6" x14ac:dyDescent="0.25">
      <c r="A16" s="9" t="s">
        <v>78</v>
      </c>
      <c r="B16" s="9" t="s">
        <v>99</v>
      </c>
      <c r="C16" s="9" t="s">
        <v>100</v>
      </c>
      <c r="D16" s="9" t="s">
        <v>101</v>
      </c>
      <c r="E16" s="9"/>
      <c r="F16" s="9" t="s">
        <v>102</v>
      </c>
    </row>
    <row r="17" spans="1:6" x14ac:dyDescent="0.25">
      <c r="A17" s="10" t="s">
        <v>103</v>
      </c>
      <c r="B17" s="37">
        <f>D5</f>
        <v>144814.99999999997</v>
      </c>
      <c r="C17" s="21">
        <f>(Assumptions!$B$26*Assumptions!$B$27)</f>
        <v>90000</v>
      </c>
      <c r="D17" s="21">
        <f>B17+C17</f>
        <v>234814.99999999997</v>
      </c>
      <c r="E17" s="10"/>
      <c r="F17" s="13" t="s">
        <v>104</v>
      </c>
    </row>
    <row r="18" spans="1:6" x14ac:dyDescent="0.25">
      <c r="A18" s="26" t="s">
        <v>85</v>
      </c>
      <c r="B18" s="38">
        <f>D6</f>
        <v>150607.59999999998</v>
      </c>
      <c r="C18" s="31">
        <f>(Assumptions!$B$26*Assumptions!$B$27)</f>
        <v>90000</v>
      </c>
      <c r="D18" s="28">
        <f>B18+C18</f>
        <v>240607.59999999998</v>
      </c>
      <c r="E18" s="32"/>
      <c r="F18" s="29" t="s">
        <v>105</v>
      </c>
    </row>
    <row r="19" spans="1:6" x14ac:dyDescent="0.25">
      <c r="A19" s="10" t="s">
        <v>106</v>
      </c>
      <c r="B19" s="37">
        <f>D7</f>
        <v>156400.19999999998</v>
      </c>
      <c r="C19" s="21">
        <f>(Assumptions!$B$26*Assumptions!$B$27)</f>
        <v>90000</v>
      </c>
      <c r="D19" s="21">
        <f>B19+C19</f>
        <v>246400.19999999998</v>
      </c>
      <c r="E19" s="10"/>
      <c r="F19" s="13" t="s">
        <v>107</v>
      </c>
    </row>
    <row r="21" spans="1:6" ht="15" customHeight="1" x14ac:dyDescent="0.25">
      <c r="A21" s="2" t="s">
        <v>108</v>
      </c>
      <c r="B21" s="2"/>
      <c r="C21" s="2"/>
      <c r="D21" s="2"/>
      <c r="E21" s="2"/>
      <c r="F21" s="2"/>
    </row>
    <row r="23" spans="1:6" ht="15" customHeight="1" x14ac:dyDescent="0.25">
      <c r="A23" s="1" t="s">
        <v>109</v>
      </c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</sheetData>
  <mergeCells count="6">
    <mergeCell ref="A23:F25"/>
    <mergeCell ref="A1:F1"/>
    <mergeCell ref="A3:F3"/>
    <mergeCell ref="A9:F9"/>
    <mergeCell ref="A15:F15"/>
    <mergeCell ref="A21:F21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Konekti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40" customWidth="1"/>
    <col min="2" max="3" width="18" customWidth="1"/>
    <col min="4" max="4" width="38" customWidth="1"/>
  </cols>
  <sheetData>
    <row r="1" spans="1:4" ht="24" customHeight="1" x14ac:dyDescent="0.25">
      <c r="A1" s="8" t="s">
        <v>110</v>
      </c>
      <c r="B1" s="8"/>
      <c r="C1" s="8"/>
      <c r="D1" s="8"/>
    </row>
    <row r="3" spans="1:4" ht="42" customHeight="1" x14ac:dyDescent="0.25">
      <c r="A3" s="7" t="s">
        <v>111</v>
      </c>
      <c r="B3" s="7"/>
      <c r="C3" s="7"/>
      <c r="D3" s="7"/>
    </row>
    <row r="5" spans="1:4" x14ac:dyDescent="0.25">
      <c r="A5" s="17" t="s">
        <v>112</v>
      </c>
      <c r="B5" s="17" t="s">
        <v>113</v>
      </c>
      <c r="C5" s="17" t="s">
        <v>114</v>
      </c>
      <c r="D5" s="17" t="s">
        <v>102</v>
      </c>
    </row>
    <row r="6" spans="1:4" ht="24" x14ac:dyDescent="0.25">
      <c r="A6" s="10" t="s">
        <v>115</v>
      </c>
      <c r="B6" s="14">
        <v>10</v>
      </c>
      <c r="C6" s="21">
        <f>B6*Assumptions!$B$6</f>
        <v>11000</v>
      </c>
      <c r="D6" s="13" t="s">
        <v>116</v>
      </c>
    </row>
    <row r="7" spans="1:4" ht="36" x14ac:dyDescent="0.25">
      <c r="A7" s="10" t="s">
        <v>117</v>
      </c>
      <c r="B7" s="14">
        <v>30</v>
      </c>
      <c r="C7" s="21">
        <f>B7*Assumptions!$B$6</f>
        <v>33000</v>
      </c>
      <c r="D7" s="13" t="s">
        <v>118</v>
      </c>
    </row>
    <row r="8" spans="1:4" ht="24" x14ac:dyDescent="0.25">
      <c r="A8" s="10" t="s">
        <v>119</v>
      </c>
      <c r="B8" s="14">
        <v>10</v>
      </c>
      <c r="C8" s="21">
        <f>B8*Assumptions!$B$6</f>
        <v>11000</v>
      </c>
      <c r="D8" s="13" t="s">
        <v>120</v>
      </c>
    </row>
    <row r="9" spans="1:4" ht="25.5" x14ac:dyDescent="0.25">
      <c r="A9" s="10" t="s">
        <v>121</v>
      </c>
      <c r="B9" s="14">
        <v>6</v>
      </c>
      <c r="C9" s="21">
        <f>B9*Assumptions!$B$6</f>
        <v>6600</v>
      </c>
      <c r="D9" s="13" t="s">
        <v>122</v>
      </c>
    </row>
    <row r="10" spans="1:4" x14ac:dyDescent="0.25">
      <c r="A10" s="10" t="s">
        <v>123</v>
      </c>
      <c r="B10" s="14">
        <v>3</v>
      </c>
      <c r="C10" s="21">
        <f>B10*Assumptions!$B$6</f>
        <v>3300</v>
      </c>
      <c r="D10" s="13" t="s">
        <v>124</v>
      </c>
    </row>
    <row r="11" spans="1:4" x14ac:dyDescent="0.25">
      <c r="A11" s="23" t="s">
        <v>125</v>
      </c>
      <c r="B11" s="24">
        <f>SUM(B6:B10)</f>
        <v>59</v>
      </c>
      <c r="C11" s="25">
        <f>SUM(C6:C10)</f>
        <v>64900</v>
      </c>
      <c r="D11" s="23"/>
    </row>
    <row r="12" spans="1:4" x14ac:dyDescent="0.25">
      <c r="A12" s="26" t="s">
        <v>126</v>
      </c>
      <c r="B12" s="27">
        <f>B11*(1+Assumptions!$B$13)</f>
        <v>67.849999999999994</v>
      </c>
      <c r="C12" s="28">
        <f>C11*(1+Assumptions!$B$13)</f>
        <v>74635</v>
      </c>
      <c r="D12" s="29" t="s">
        <v>127</v>
      </c>
    </row>
    <row r="14" spans="1:4" x14ac:dyDescent="0.25">
      <c r="A14" s="7" t="s">
        <v>128</v>
      </c>
      <c r="B14" s="7"/>
      <c r="C14" s="7"/>
      <c r="D14" s="7"/>
    </row>
  </sheetData>
  <mergeCells count="3">
    <mergeCell ref="A1:D1"/>
    <mergeCell ref="A3:D3"/>
    <mergeCell ref="A14:D14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Konekti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20" customWidth="1"/>
    <col min="2" max="2" width="30" customWidth="1"/>
    <col min="3" max="4" width="34" customWidth="1"/>
    <col min="5" max="5" width="16" customWidth="1"/>
  </cols>
  <sheetData>
    <row r="1" spans="1:5" ht="24" customHeight="1" x14ac:dyDescent="0.25">
      <c r="A1" s="8" t="s">
        <v>129</v>
      </c>
      <c r="B1" s="8"/>
      <c r="C1" s="8"/>
      <c r="D1" s="8"/>
      <c r="E1" s="8"/>
    </row>
    <row r="2" spans="1:5" ht="30" customHeight="1" x14ac:dyDescent="0.25">
      <c r="A2" s="7" t="s">
        <v>130</v>
      </c>
      <c r="B2" s="7"/>
      <c r="C2" s="7"/>
      <c r="D2" s="7"/>
      <c r="E2" s="7"/>
    </row>
    <row r="4" spans="1:5" x14ac:dyDescent="0.25">
      <c r="A4" s="17" t="s">
        <v>131</v>
      </c>
      <c r="B4" s="17" t="s">
        <v>132</v>
      </c>
      <c r="C4" s="17" t="s">
        <v>133</v>
      </c>
      <c r="D4" s="17" t="s">
        <v>134</v>
      </c>
      <c r="E4" s="17" t="s">
        <v>135</v>
      </c>
    </row>
    <row r="5" spans="1:5" ht="43.5" customHeight="1" x14ac:dyDescent="0.25">
      <c r="A5" s="39" t="s">
        <v>136</v>
      </c>
      <c r="B5" s="10" t="s">
        <v>137</v>
      </c>
      <c r="C5" s="10" t="s">
        <v>138</v>
      </c>
      <c r="D5" s="10" t="s">
        <v>139</v>
      </c>
      <c r="E5" s="18" t="s">
        <v>140</v>
      </c>
    </row>
    <row r="6" spans="1:5" ht="43.5" customHeight="1" x14ac:dyDescent="0.25">
      <c r="A6" s="26" t="s">
        <v>141</v>
      </c>
      <c r="B6" s="32" t="s">
        <v>142</v>
      </c>
      <c r="C6" s="32" t="s">
        <v>143</v>
      </c>
      <c r="D6" s="32" t="s">
        <v>144</v>
      </c>
      <c r="E6" s="40" t="s">
        <v>145</v>
      </c>
    </row>
    <row r="7" spans="1:5" ht="43.5" customHeight="1" x14ac:dyDescent="0.25">
      <c r="A7" s="39" t="s">
        <v>146</v>
      </c>
      <c r="B7" s="10" t="s">
        <v>147</v>
      </c>
      <c r="C7" s="10" t="s">
        <v>148</v>
      </c>
      <c r="D7" s="10" t="s">
        <v>149</v>
      </c>
      <c r="E7" s="18" t="s">
        <v>150</v>
      </c>
    </row>
    <row r="8" spans="1:5" ht="43.5" customHeight="1" x14ac:dyDescent="0.25">
      <c r="A8" s="39" t="s">
        <v>151</v>
      </c>
      <c r="B8" s="10" t="s">
        <v>152</v>
      </c>
      <c r="C8" s="10" t="s">
        <v>153</v>
      </c>
      <c r="D8" s="10" t="s">
        <v>154</v>
      </c>
      <c r="E8" s="18" t="s">
        <v>155</v>
      </c>
    </row>
    <row r="9" spans="1:5" ht="43.5" customHeight="1" x14ac:dyDescent="0.25">
      <c r="A9" s="39" t="s">
        <v>156</v>
      </c>
      <c r="B9" s="10" t="s">
        <v>157</v>
      </c>
      <c r="C9" s="10" t="s">
        <v>158</v>
      </c>
      <c r="D9" s="10" t="s">
        <v>159</v>
      </c>
      <c r="E9" s="18" t="s">
        <v>160</v>
      </c>
    </row>
    <row r="10" spans="1:5" ht="43.5" customHeight="1" x14ac:dyDescent="0.25">
      <c r="A10" s="39" t="s">
        <v>161</v>
      </c>
      <c r="B10" s="10" t="s">
        <v>162</v>
      </c>
      <c r="C10" s="10" t="s">
        <v>163</v>
      </c>
      <c r="D10" s="10" t="s">
        <v>164</v>
      </c>
      <c r="E10" s="18" t="s">
        <v>165</v>
      </c>
    </row>
    <row r="11" spans="1:5" ht="43.5" customHeight="1" x14ac:dyDescent="0.25">
      <c r="A11" s="39" t="s">
        <v>166</v>
      </c>
      <c r="B11" s="10" t="s">
        <v>167</v>
      </c>
      <c r="C11" s="10" t="s">
        <v>168</v>
      </c>
      <c r="D11" s="10" t="s">
        <v>169</v>
      </c>
      <c r="E11" s="18" t="s">
        <v>165</v>
      </c>
    </row>
    <row r="13" spans="1:5" ht="15" customHeight="1" x14ac:dyDescent="0.25">
      <c r="A13" s="1" t="s">
        <v>170</v>
      </c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</sheetData>
  <mergeCells count="3">
    <mergeCell ref="A1:E1"/>
    <mergeCell ref="A2:E2"/>
    <mergeCell ref="A13:E15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Konekti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showGridLines="0" zoomScaleNormal="100" workbookViewId="0">
      <selection activeCell="J15" sqref="J15"/>
    </sheetView>
  </sheetViews>
  <sheetFormatPr defaultColWidth="8.7109375" defaultRowHeight="15" x14ac:dyDescent="0.25"/>
  <cols>
    <col min="1" max="1" width="30" customWidth="1"/>
    <col min="2" max="10" width="7" customWidth="1"/>
  </cols>
  <sheetData>
    <row r="1" spans="1:10" ht="24" customHeight="1" x14ac:dyDescent="0.25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30" customHeight="1" x14ac:dyDescent="0.25">
      <c r="A2" s="7" t="s">
        <v>172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25">
      <c r="A4" s="17" t="s">
        <v>173</v>
      </c>
      <c r="B4" s="17" t="s">
        <v>174</v>
      </c>
      <c r="C4" s="17" t="s">
        <v>175</v>
      </c>
      <c r="D4" s="17" t="s">
        <v>176</v>
      </c>
      <c r="E4" s="17" t="s">
        <v>177</v>
      </c>
      <c r="F4" s="17" t="s">
        <v>178</v>
      </c>
      <c r="G4" s="17" t="s">
        <v>179</v>
      </c>
      <c r="H4" s="17" t="s">
        <v>180</v>
      </c>
      <c r="I4" s="17" t="s">
        <v>181</v>
      </c>
      <c r="J4" s="17" t="s">
        <v>182</v>
      </c>
    </row>
    <row r="5" spans="1:10" x14ac:dyDescent="0.25">
      <c r="A5" s="10" t="s">
        <v>183</v>
      </c>
      <c r="B5" s="41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0" t="s">
        <v>184</v>
      </c>
      <c r="B6" s="41"/>
      <c r="C6" s="41"/>
      <c r="D6" s="12"/>
      <c r="E6" s="12"/>
      <c r="F6" s="12"/>
      <c r="G6" s="12"/>
      <c r="H6" s="12"/>
      <c r="I6" s="12"/>
      <c r="J6" s="12"/>
    </row>
    <row r="7" spans="1:10" ht="25.5" x14ac:dyDescent="0.25">
      <c r="A7" s="10" t="s">
        <v>185</v>
      </c>
      <c r="B7" s="12"/>
      <c r="C7" s="42"/>
      <c r="D7" s="42"/>
      <c r="E7" s="12"/>
      <c r="F7" s="12"/>
      <c r="G7" s="12"/>
      <c r="H7" s="12"/>
      <c r="I7" s="12"/>
      <c r="J7" s="12"/>
    </row>
    <row r="8" spans="1:10" x14ac:dyDescent="0.25">
      <c r="A8" s="10" t="s">
        <v>186</v>
      </c>
      <c r="B8" s="12"/>
      <c r="C8" s="12"/>
      <c r="D8" s="41"/>
      <c r="E8" s="12"/>
      <c r="F8" s="12"/>
      <c r="G8" s="12"/>
      <c r="H8" s="12"/>
      <c r="I8" s="12"/>
      <c r="J8" s="12"/>
    </row>
    <row r="9" spans="1:10" ht="25.5" x14ac:dyDescent="0.25">
      <c r="A9" s="10" t="s">
        <v>187</v>
      </c>
      <c r="B9" s="12"/>
      <c r="C9" s="12"/>
      <c r="D9" s="42"/>
      <c r="E9" s="42"/>
      <c r="F9" s="12"/>
      <c r="G9" s="12"/>
      <c r="H9" s="12"/>
      <c r="I9" s="12"/>
      <c r="J9" s="12"/>
    </row>
    <row r="10" spans="1:10" ht="25.5" x14ac:dyDescent="0.25">
      <c r="A10" s="10" t="s">
        <v>188</v>
      </c>
      <c r="B10" s="12"/>
      <c r="C10" s="12"/>
      <c r="D10" s="12"/>
      <c r="E10" s="41"/>
      <c r="F10" s="41"/>
      <c r="G10" s="41"/>
      <c r="H10" s="12"/>
      <c r="I10" s="12"/>
      <c r="J10" s="12"/>
    </row>
    <row r="11" spans="1:10" ht="25.5" x14ac:dyDescent="0.25">
      <c r="A11" s="10" t="s">
        <v>189</v>
      </c>
      <c r="B11" s="12"/>
      <c r="C11" s="12"/>
      <c r="D11" s="12"/>
      <c r="E11" s="12"/>
      <c r="F11" s="12"/>
      <c r="G11" s="42"/>
      <c r="H11" s="42"/>
      <c r="I11" s="12"/>
      <c r="J11" s="12"/>
    </row>
    <row r="12" spans="1:10" x14ac:dyDescent="0.25">
      <c r="A12" s="10" t="s">
        <v>190</v>
      </c>
      <c r="B12" s="12"/>
      <c r="C12" s="12"/>
      <c r="D12" s="12"/>
      <c r="E12" s="12"/>
      <c r="F12" s="12"/>
      <c r="G12" s="12"/>
      <c r="H12" s="41"/>
      <c r="I12" s="12"/>
      <c r="J12" s="12"/>
    </row>
    <row r="13" spans="1:10" ht="25.5" x14ac:dyDescent="0.25">
      <c r="A13" s="10" t="s">
        <v>191</v>
      </c>
      <c r="B13" s="12"/>
      <c r="C13" s="12"/>
      <c r="D13" s="12"/>
      <c r="E13" s="12"/>
      <c r="F13" s="12"/>
      <c r="G13" s="12"/>
      <c r="H13" s="42"/>
      <c r="I13" s="42"/>
      <c r="J13" s="12"/>
    </row>
    <row r="14" spans="1:10" ht="25.5" x14ac:dyDescent="0.25">
      <c r="A14" s="10" t="s">
        <v>192</v>
      </c>
      <c r="B14" s="12"/>
      <c r="C14" s="12"/>
      <c r="D14" s="43"/>
      <c r="E14" s="43"/>
      <c r="F14" s="43"/>
      <c r="G14" s="43"/>
      <c r="H14" s="43"/>
      <c r="I14" s="43"/>
      <c r="J14" s="12"/>
    </row>
    <row r="15" spans="1:10" x14ac:dyDescent="0.25">
      <c r="A15" s="10" t="s">
        <v>193</v>
      </c>
      <c r="B15" s="12"/>
      <c r="C15" s="12"/>
      <c r="D15" s="12"/>
      <c r="E15" s="12"/>
      <c r="F15" s="12"/>
      <c r="G15" s="12"/>
      <c r="H15" s="12"/>
      <c r="I15" s="41"/>
      <c r="J15" s="41"/>
    </row>
    <row r="17" spans="1:10" ht="25.5" x14ac:dyDescent="0.25">
      <c r="A17" s="39" t="s">
        <v>194</v>
      </c>
      <c r="B17" s="44" t="s">
        <v>195</v>
      </c>
      <c r="C17" s="45" t="s">
        <v>196</v>
      </c>
      <c r="D17" s="46" t="s">
        <v>197</v>
      </c>
    </row>
    <row r="19" spans="1:10" ht="15" customHeight="1" x14ac:dyDescent="0.25">
      <c r="A19" s="1" t="s">
        <v>198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3">
    <mergeCell ref="A1:J1"/>
    <mergeCell ref="A2:J2"/>
    <mergeCell ref="A19:J20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Konekti -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0147764574543979BC8ADD7DC09AD" ma:contentTypeVersion="19" ma:contentTypeDescription="Een nieuw document maken." ma:contentTypeScope="" ma:versionID="070ffe7083e63cb984f2f2311bafeed7">
  <xsd:schema xmlns:xsd="http://www.w3.org/2001/XMLSchema" xmlns:xs="http://www.w3.org/2001/XMLSchema" xmlns:p="http://schemas.microsoft.com/office/2006/metadata/properties" xmlns:ns2="8bb6012e-99e6-4a4e-960c-8923db79459d" xmlns:ns3="a3a83cf7-6eb7-49a4-87a5-f720e2b036ba" targetNamespace="http://schemas.microsoft.com/office/2006/metadata/properties" ma:root="true" ma:fieldsID="370b6a7fdcc745b86368b32db5b04bfb" ns2:_="" ns3:_="">
    <xsd:import namespace="8bb6012e-99e6-4a4e-960c-8923db79459d"/>
    <xsd:import namespace="a3a83cf7-6eb7-49a4-87a5-f720e2b036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6012e-99e6-4a4e-960c-8923db7945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6bb00c9e-ae87-4d2f-a4e0-9463228b11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83cf7-6eb7-49a4-87a5-f720e2b036b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8e1646-213e-466a-b849-f6f3adc25d74}" ma:internalName="TaxCatchAll" ma:showField="CatchAllData" ma:web="a3a83cf7-6eb7-49a4-87a5-f720e2b03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a83cf7-6eb7-49a4-87a5-f720e2b036ba" xsi:nil="true"/>
    <lcf76f155ced4ddcb4097134ff3c332f xmlns="8bb6012e-99e6-4a4e-960c-8923db79459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E7FFB1-8B5C-448B-8B09-4B2AA4E0990F}"/>
</file>

<file path=customXml/itemProps2.xml><?xml version="1.0" encoding="utf-8"?>
<ds:datastoreItem xmlns:ds="http://schemas.openxmlformats.org/officeDocument/2006/customXml" ds:itemID="{7B0D5356-7E67-4AB2-BD61-4CF863E38C26}"/>
</file>

<file path=customXml/itemProps3.xml><?xml version="1.0" encoding="utf-8"?>
<ds:datastoreItem xmlns:ds="http://schemas.openxmlformats.org/officeDocument/2006/customXml" ds:itemID="{D34E65D3-DD25-451C-B638-830A94F8F14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Effort Build-Up</vt:lpstr>
      <vt:lpstr>Scenarios</vt:lpstr>
      <vt:lpstr>WP1 First Quote</vt:lpstr>
      <vt:lpstr>WP Map (metrics)</vt:lpstr>
      <vt:lpstr>Parallel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Adam Broniewski</cp:lastModifiedBy>
  <cp:revision>0</cp:revision>
  <dcterms:created xsi:type="dcterms:W3CDTF">2026-06-17T08:37:01Z</dcterms:created>
  <dcterms:modified xsi:type="dcterms:W3CDTF">2026-06-17T08:46:52Z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bdf2e-c10c-4b4d-b32d-499abf4f5555_Enabled">
    <vt:lpwstr>true</vt:lpwstr>
  </property>
  <property fmtid="{D5CDD505-2E9C-101B-9397-08002B2CF9AE}" pid="3" name="MSIP_Label_bc3bdf2e-c10c-4b4d-b32d-499abf4f5555_SetDate">
    <vt:lpwstr>2026-06-17T08:46:25Z</vt:lpwstr>
  </property>
  <property fmtid="{D5CDD505-2E9C-101B-9397-08002B2CF9AE}" pid="4" name="MSIP_Label_bc3bdf2e-c10c-4b4d-b32d-499abf4f5555_Method">
    <vt:lpwstr>Standard</vt:lpwstr>
  </property>
  <property fmtid="{D5CDD505-2E9C-101B-9397-08002B2CF9AE}" pid="5" name="MSIP_Label_bc3bdf2e-c10c-4b4d-b32d-499abf4f5555_Name">
    <vt:lpwstr>Confidential Information</vt:lpwstr>
  </property>
  <property fmtid="{D5CDD505-2E9C-101B-9397-08002B2CF9AE}" pid="6" name="MSIP_Label_bc3bdf2e-c10c-4b4d-b32d-499abf4f5555_SiteId">
    <vt:lpwstr>fa8dafd9-c316-4c48-8f3a-861e15991c84</vt:lpwstr>
  </property>
  <property fmtid="{D5CDD505-2E9C-101B-9397-08002B2CF9AE}" pid="7" name="MSIP_Label_bc3bdf2e-c10c-4b4d-b32d-499abf4f5555_ActionId">
    <vt:lpwstr>5004d6f3-5129-4132-af77-13923be43503</vt:lpwstr>
  </property>
  <property fmtid="{D5CDD505-2E9C-101B-9397-08002B2CF9AE}" pid="8" name="MSIP_Label_bc3bdf2e-c10c-4b4d-b32d-499abf4f5555_ContentBits">
    <vt:lpwstr>2</vt:lpwstr>
  </property>
  <property fmtid="{D5CDD505-2E9C-101B-9397-08002B2CF9AE}" pid="9" name="MSIP_Label_bc3bdf2e-c10c-4b4d-b32d-499abf4f5555_Tag">
    <vt:lpwstr>10, 3, 0, 1</vt:lpwstr>
  </property>
  <property fmtid="{D5CDD505-2E9C-101B-9397-08002B2CF9AE}" pid="10" name="ContentTypeId">
    <vt:lpwstr>0x0101005B10147764574543979BC8ADD7DC09AD</vt:lpwstr>
  </property>
</Properties>
</file>